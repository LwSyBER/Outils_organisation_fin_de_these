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a6203e442fa22c0/_SyBER/1-Thèse SyBER/_Présentations et rédaction/250401_MA_THESE/2-JURY THESE/Template_preparation_these/"/>
    </mc:Choice>
  </mc:AlternateContent>
  <xr:revisionPtr revIDLastSave="167" documentId="8_{C5FA2278-A9F0-4897-9191-36DB5A57D260}" xr6:coauthVersionLast="47" xr6:coauthVersionMax="47" xr10:uidLastSave="{FF85D12A-D411-415F-B332-7BA47EEA4AAF}"/>
  <bookViews>
    <workbookView xWindow="-108" yWindow="-108" windowWidth="23256" windowHeight="12456" xr2:uid="{59B6A119-7F9F-4DF5-8DC0-BC22DD4481A5}"/>
  </bookViews>
  <sheets>
    <sheet name="retroplanning"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 r="A10" i="2"/>
  <c r="A11" i="2"/>
  <c r="A12" i="2"/>
  <c r="B12" i="2"/>
  <c r="B11" i="2"/>
  <c r="B10" i="2"/>
  <c r="B8" i="2"/>
  <c r="B7" i="2"/>
  <c r="B6" i="2"/>
  <c r="B5" i="2"/>
  <c r="B4" i="2"/>
  <c r="B3" i="2"/>
  <c r="A3" i="2"/>
  <c r="A4" i="2"/>
  <c r="A5" i="2"/>
  <c r="A6" i="2"/>
  <c r="A7" i="2"/>
  <c r="A8" i="2"/>
</calcChain>
</file>

<file path=xl/sharedStrings.xml><?xml version="1.0" encoding="utf-8"?>
<sst xmlns="http://schemas.openxmlformats.org/spreadsheetml/2006/main" count="25" uniqueCount="20">
  <si>
    <t>Etape</t>
  </si>
  <si>
    <t>Soutenance en présentiel à 14h à l'INRAE de Jouy-en-Josas</t>
  </si>
  <si>
    <t>Deadline pour l'obtention de l'autorisation de soutenance (15j avant date de soutenance pour respecter le délai légal de publicité sur la soutenance).</t>
  </si>
  <si>
    <t>Date conseillée pour que les rapporteurs commencent les démarches d’autorisation de soutenance</t>
  </si>
  <si>
    <t>Deadline pour que le président ou la présidente de jury (ou à défaut le directeur de thèse) remette le procès verbal de soutenance à la maison du doctorat et une copie du procès verbal à la doctorante</t>
  </si>
  <si>
    <t>Deadline pour respecter le délai légal</t>
  </si>
  <si>
    <t>Deadline pour respecter le délai recommandé</t>
  </si>
  <si>
    <t>Deadline pour le 2nd et dernier dépot légal de la thèse en cas de corrections mineures</t>
  </si>
  <si>
    <t>Deadline pour que la doctorante envoie la thèse aux rapporteurs, afin que ces derniers aient "un bon mois pour travailler sur la thèse, remettre leurs rapports et effectuer les démarches d'autorisation de soutenance"</t>
  </si>
  <si>
    <t>Deadline pour le dépôt légal de la thèse</t>
  </si>
  <si>
    <t>Les rapporteurs</t>
  </si>
  <si>
    <t>Tous</t>
  </si>
  <si>
    <t>Action à faire par</t>
  </si>
  <si>
    <t>Le président du jury</t>
  </si>
  <si>
    <t>La scolarité</t>
  </si>
  <si>
    <t>Deadline pour la validation du jury sur ADUM (au plus tard 2 mois avant la soutenance)</t>
  </si>
  <si>
    <t>Deadline pour imprimer et envoyer par la poste</t>
  </si>
  <si>
    <t>Le/la doctorant ·e</t>
  </si>
  <si>
    <t>Deadline pour le service de scolarité pour fournir une attestation de réussite au / à la docteur·e</t>
  </si>
  <si>
    <r>
      <t xml:space="preserve">Ce tableau, rempli en respectant les délais légaux et conseillés indiqués dans le guide du doctorat de l'Université Paris-Saclay, permet de concevoir rapidement un retro-planning des grandes étapes du chemin vers la soutenance. Il suffit de </t>
    </r>
    <r>
      <rPr>
        <b/>
        <sz val="11"/>
        <color theme="1"/>
        <rFont val="Aptos Narrow"/>
        <family val="2"/>
        <scheme val="minor"/>
      </rPr>
      <t>rentrer sa date de soutenance en A9</t>
    </r>
    <r>
      <rPr>
        <sz val="11"/>
        <color theme="1"/>
        <rFont val="Aptos Narrow"/>
        <family val="2"/>
        <scheme val="minor"/>
      </rPr>
      <t xml:space="preserve"> pour que le tableau se mette à jour (à +/- 1j en fonction de si les mois ont 30 ou 31 jours).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</si>
</sst>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8" tint="0.79998168889431442"/>
        <bgColor indexed="64"/>
      </patternFill>
    </fill>
  </fills>
  <borders count="4">
    <border>
      <left/>
      <right/>
      <top/>
      <bottom/>
      <diagonal/>
    </border>
    <border>
      <left style="thin">
        <color theme="1"/>
      </left>
      <right/>
      <top style="thin">
        <color theme="1"/>
      </top>
      <bottom/>
      <diagonal/>
    </border>
    <border>
      <left/>
      <right/>
      <top style="thin">
        <color theme="1"/>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0" fillId="0" borderId="0" xfId="0" applyAlignment="1">
      <alignment horizontal="left" vertical="center" wrapText="1"/>
    </xf>
    <xf numFmtId="0" fontId="1" fillId="0" borderId="0" xfId="0" applyFont="1" applyAlignment="1">
      <alignment horizontal="left" vertical="center" wrapText="1"/>
    </xf>
    <xf numFmtId="14" fontId="0" fillId="0" borderId="0" xfId="0" applyNumberFormat="1" applyAlignment="1">
      <alignment horizontal="left" vertical="center"/>
    </xf>
    <xf numFmtId="14" fontId="0" fillId="0" borderId="1" xfId="0" applyNumberFormat="1" applyBorder="1" applyAlignment="1">
      <alignment horizontal="left" vertical="center"/>
    </xf>
    <xf numFmtId="14" fontId="0" fillId="0" borderId="2" xfId="0" applyNumberFormat="1" applyBorder="1" applyAlignment="1">
      <alignment horizontal="left" vertical="center"/>
    </xf>
    <xf numFmtId="0" fontId="0" fillId="0" borderId="2" xfId="0" applyBorder="1" applyAlignment="1">
      <alignment horizontal="left" vertical="center" wrapText="1"/>
    </xf>
    <xf numFmtId="14" fontId="1" fillId="0" borderId="0" xfId="0" applyNumberFormat="1" applyFont="1" applyAlignment="1">
      <alignment horizontal="left" vertical="center"/>
    </xf>
    <xf numFmtId="0" fontId="0" fillId="2" borderId="0" xfId="0" applyFont="1" applyFill="1" applyAlignment="1">
      <alignment horizontal="left" vertical="center" wrapText="1"/>
    </xf>
    <xf numFmtId="14" fontId="0" fillId="0" borderId="3" xfId="0" applyNumberFormat="1" applyBorder="1" applyAlignment="1">
      <alignment horizontal="left" vertical="center"/>
    </xf>
  </cellXfs>
  <cellStyles count="1">
    <cellStyle name="Normal" xfId="0" builtinId="0"/>
  </cellStyles>
  <dxfs count="5">
    <dxf>
      <alignment horizontal="left" vertical="center" textRotation="0" wrapText="1" indent="0" justifyLastLine="0" shrinkToFit="0" readingOrder="0"/>
    </dxf>
    <dxf>
      <alignment horizontal="left" vertical="center" textRotation="0" wrapText="1"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87A796-EF60-48B8-8A8D-2CEE853B3296}" name="Table13" displayName="Table13" ref="A2:D12" totalsRowShown="0" headerRowDxfId="4">
  <autoFilter ref="A2:D12" xr:uid="{1B005E50-8762-4E97-8831-7D222596BDC2}"/>
  <sortState xmlns:xlrd2="http://schemas.microsoft.com/office/spreadsheetml/2017/richdata2" ref="A3:C12">
    <sortCondition ref="B2:B12"/>
  </sortState>
  <tableColumns count="4">
    <tableColumn id="1" xr3:uid="{50272A25-6D15-4090-B79D-3736DED88886}" name="Deadline pour respecter le délai légal" dataDxfId="3"/>
    <tableColumn id="2" xr3:uid="{50550A13-70AF-4374-9E12-D6CCB0FEBFE2}" name="Deadline pour respecter le délai recommandé" dataDxfId="2"/>
    <tableColumn id="3" xr3:uid="{5DEF3D11-A20F-4358-ACE5-FADEA41E7FAE}" name="Etape" dataDxfId="1"/>
    <tableColumn id="4" xr3:uid="{D5B3346C-4A1C-4E14-8268-CAC24E513D7B}" name="Action à faire par"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2C7A4-C1A1-45DE-83A3-E448A15E5FA1}">
  <dimension ref="A1:D12"/>
  <sheetViews>
    <sheetView tabSelected="1" workbookViewId="0">
      <selection activeCell="C14" sqref="C14"/>
    </sheetView>
  </sheetViews>
  <sheetFormatPr defaultRowHeight="14.4" x14ac:dyDescent="0.3"/>
  <cols>
    <col min="1" max="1" width="20.77734375" customWidth="1"/>
    <col min="2" max="2" width="22.21875" customWidth="1"/>
    <col min="3" max="3" width="89.44140625" customWidth="1"/>
    <col min="4" max="4" width="17.109375" customWidth="1"/>
  </cols>
  <sheetData>
    <row r="1" spans="1:4" ht="39" customHeight="1" x14ac:dyDescent="0.3">
      <c r="A1" s="8" t="s">
        <v>19</v>
      </c>
      <c r="B1" s="8"/>
      <c r="C1" s="8"/>
      <c r="D1" s="8"/>
    </row>
    <row r="2" spans="1:4" ht="27.6" customHeight="1" x14ac:dyDescent="0.3">
      <c r="A2" s="2" t="s">
        <v>5</v>
      </c>
      <c r="B2" s="2" t="s">
        <v>6</v>
      </c>
      <c r="C2" s="2" t="s">
        <v>0</v>
      </c>
      <c r="D2" s="2" t="s">
        <v>12</v>
      </c>
    </row>
    <row r="3" spans="1:4" ht="15" customHeight="1" x14ac:dyDescent="0.3">
      <c r="A3" s="4">
        <f>$A$9-61</f>
        <v>45941</v>
      </c>
      <c r="B3" s="7">
        <f>$A$9-68</f>
        <v>45934</v>
      </c>
      <c r="C3" s="1" t="s">
        <v>15</v>
      </c>
      <c r="D3" s="1" t="s">
        <v>17</v>
      </c>
    </row>
    <row r="4" spans="1:4" x14ac:dyDescent="0.3">
      <c r="A4" s="4">
        <f t="shared" ref="A3:B5" si="0">$A$9-30</f>
        <v>45972</v>
      </c>
      <c r="B4" s="7">
        <f>$A$9-61</f>
        <v>45941</v>
      </c>
      <c r="C4" s="1" t="s">
        <v>9</v>
      </c>
      <c r="D4" s="1" t="s">
        <v>17</v>
      </c>
    </row>
    <row r="5" spans="1:4" ht="28.8" x14ac:dyDescent="0.3">
      <c r="A5" s="4">
        <f t="shared" si="0"/>
        <v>45972</v>
      </c>
      <c r="B5" s="7">
        <f>$A$9-61</f>
        <v>45941</v>
      </c>
      <c r="C5" s="1" t="s">
        <v>8</v>
      </c>
      <c r="D5" s="1" t="s">
        <v>17</v>
      </c>
    </row>
    <row r="6" spans="1:4" x14ac:dyDescent="0.3">
      <c r="A6" s="4">
        <f>$A$9-30</f>
        <v>45972</v>
      </c>
      <c r="B6" s="5">
        <f>$A$9-61</f>
        <v>45941</v>
      </c>
      <c r="C6" s="6" t="s">
        <v>16</v>
      </c>
      <c r="D6" s="1" t="s">
        <v>17</v>
      </c>
    </row>
    <row r="7" spans="1:4" x14ac:dyDescent="0.3">
      <c r="A7" s="3">
        <f>$A$9-21</f>
        <v>45981</v>
      </c>
      <c r="B7" s="3">
        <f>$A$9-30</f>
        <v>45972</v>
      </c>
      <c r="C7" s="1" t="s">
        <v>3</v>
      </c>
      <c r="D7" s="1" t="s">
        <v>10</v>
      </c>
    </row>
    <row r="8" spans="1:4" ht="29.4" thickBot="1" x14ac:dyDescent="0.35">
      <c r="A8" s="3">
        <f>$A$9-14</f>
        <v>45988</v>
      </c>
      <c r="B8" s="3">
        <f>$A$9-20</f>
        <v>45982</v>
      </c>
      <c r="C8" s="1" t="s">
        <v>2</v>
      </c>
      <c r="D8" s="1" t="s">
        <v>10</v>
      </c>
    </row>
    <row r="9" spans="1:4" ht="15" thickBot="1" x14ac:dyDescent="0.35">
      <c r="A9" s="9">
        <v>46002</v>
      </c>
      <c r="B9" s="3">
        <f>Table13[[#This Row],[Deadline pour respecter le délai légal]]</f>
        <v>46002</v>
      </c>
      <c r="C9" s="1" t="s">
        <v>1</v>
      </c>
      <c r="D9" s="1" t="s">
        <v>11</v>
      </c>
    </row>
    <row r="10" spans="1:4" ht="28.8" x14ac:dyDescent="0.3">
      <c r="A10" s="3">
        <f>$A$9+14</f>
        <v>46016</v>
      </c>
      <c r="B10" s="3">
        <f>$A$9+14</f>
        <v>46016</v>
      </c>
      <c r="C10" s="1" t="s">
        <v>4</v>
      </c>
      <c r="D10" s="1" t="s">
        <v>13</v>
      </c>
    </row>
    <row r="11" spans="1:4" x14ac:dyDescent="0.3">
      <c r="A11" s="3">
        <f>$A$9+31</f>
        <v>46033</v>
      </c>
      <c r="B11" s="3">
        <f>$A$9+31</f>
        <v>46033</v>
      </c>
      <c r="C11" t="s">
        <v>7</v>
      </c>
      <c r="D11" s="1" t="s">
        <v>17</v>
      </c>
    </row>
    <row r="12" spans="1:4" x14ac:dyDescent="0.3">
      <c r="A12" s="3">
        <f>$A$9+52</f>
        <v>46054</v>
      </c>
      <c r="B12" s="3">
        <f>$A$9+52</f>
        <v>46054</v>
      </c>
      <c r="C12" t="s">
        <v>18</v>
      </c>
      <c r="D12" s="1" t="s">
        <v>14</v>
      </c>
    </row>
  </sheetData>
  <mergeCells count="1">
    <mergeCell ref="A1:D1"/>
  </mergeCells>
  <conditionalFormatting sqref="A3:B9">
    <cfRule type="colorScale" priority="3">
      <colorScale>
        <cfvo type="min"/>
        <cfvo type="max"/>
        <color rgb="FF63BE7B"/>
        <color rgb="FFFFEF9C"/>
      </colorScale>
    </cfRule>
  </conditionalFormatting>
  <conditionalFormatting sqref="A7:B9 A5:B5">
    <cfRule type="colorScale" priority="2">
      <colorScale>
        <cfvo type="min"/>
        <cfvo type="max"/>
        <color rgb="FF63BE7B"/>
        <color rgb="FFFFEF9C"/>
      </colorScale>
    </cfRule>
  </conditionalFormatting>
  <conditionalFormatting sqref="A9:B12">
    <cfRule type="colorScale" priority="1">
      <colorScale>
        <cfvo type="min"/>
        <cfvo type="max"/>
        <color rgb="FFFFEF9C"/>
        <color rgb="FF63BE7B"/>
      </colorScale>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retroplanning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Léa WAGNER</dc:creator>
  <cp:lastModifiedBy>Léa WAGNER</cp:lastModifiedBy>
  <dcterms:created xsi:type="dcterms:W3CDTF">2025-09-08T13:33:34Z</dcterms:created>
  <dcterms:modified xsi:type="dcterms:W3CDTF">2026-01-12T20:56:59Z</dcterms:modified>
</cp:coreProperties>
</file>
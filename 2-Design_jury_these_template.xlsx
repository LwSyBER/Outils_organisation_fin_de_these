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6203e442fa22c0/_SyBER/1-Thèse SyBER/_Présentations et rédaction/250401_MA_THESE/2-JURY THESE/Template_preparation_these/"/>
    </mc:Choice>
  </mc:AlternateContent>
  <xr:revisionPtr revIDLastSave="24" documentId="8_{857D6813-9FFA-4C52-A2B4-36102043A6DE}" xr6:coauthVersionLast="47" xr6:coauthVersionMax="47" xr10:uidLastSave="{82690BEA-8C21-4902-9DA9-D032D41BC5F9}"/>
  <bookViews>
    <workbookView xWindow="-108" yWindow="-108" windowWidth="23256" windowHeight="12456" xr2:uid="{A1003FAB-772D-418F-82F3-10463B8D55E6}"/>
  </bookViews>
  <sheets>
    <sheet name="Jury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E11" i="3"/>
  <c r="D11" i="3"/>
  <c r="C11" i="3"/>
  <c r="B11" i="3"/>
  <c r="E10" i="3"/>
  <c r="D10" i="3"/>
  <c r="C10" i="3"/>
  <c r="B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<sst xmlns="http://schemas.openxmlformats.org/spreadsheetml/2006/main" count="56" uniqueCount="39">
  <si>
    <t>Prénom NOM</t>
  </si>
  <si>
    <r>
      <t>H</t>
    </r>
    <r>
      <rPr>
        <b/>
        <sz val="11"/>
        <color rgb="FFFFFFFF"/>
        <rFont val="Calibri"/>
        <family val="2"/>
      </rPr>
      <t>/</t>
    </r>
    <r>
      <rPr>
        <b/>
        <sz val="11"/>
        <color rgb="FF00B050"/>
        <rFont val="Calibri"/>
        <family val="2"/>
      </rPr>
      <t>F</t>
    </r>
  </si>
  <si>
    <r>
      <t xml:space="preserve">CR </t>
    </r>
    <r>
      <rPr>
        <b/>
        <sz val="11"/>
        <color rgb="FFFFFFFF"/>
        <rFont val="Calibri"/>
        <family val="2"/>
      </rPr>
      <t xml:space="preserve">/ </t>
    </r>
    <r>
      <rPr>
        <b/>
        <sz val="11"/>
        <color rgb="FF00B050"/>
        <rFont val="Calibri"/>
        <family val="2"/>
      </rPr>
      <t>DR</t>
    </r>
  </si>
  <si>
    <r>
      <t>Sans</t>
    </r>
    <r>
      <rPr>
        <b/>
        <sz val="11"/>
        <color rgb="FFFFFFFF"/>
        <rFont val="Calibri"/>
        <family val="2"/>
      </rPr>
      <t xml:space="preserve"> / </t>
    </r>
    <r>
      <rPr>
        <b/>
        <sz val="11"/>
        <color rgb="FF00B050"/>
        <rFont val="Calibri"/>
        <family val="2"/>
      </rPr>
      <t>avec HDR</t>
    </r>
  </si>
  <si>
    <t>Contact</t>
  </si>
  <si>
    <t>Rôle</t>
  </si>
  <si>
    <t>Avec HDR</t>
  </si>
  <si>
    <t>DR</t>
  </si>
  <si>
    <t>Maude Guillier</t>
  </si>
  <si>
    <t>Christophe Danelon</t>
  </si>
  <si>
    <t>H</t>
  </si>
  <si>
    <t>F</t>
  </si>
  <si>
    <t xml:space="preserve">Jérôme Bonnet </t>
  </si>
  <si>
    <t>PR</t>
  </si>
  <si>
    <t>Total</t>
  </si>
  <si>
    <t>F/H=</t>
  </si>
  <si>
    <r>
      <t xml:space="preserve">Dans UPS </t>
    </r>
    <r>
      <rPr>
        <b/>
        <sz val="11"/>
        <color rgb="FFFFFFFF"/>
        <rFont val="Calibri"/>
        <family val="2"/>
      </rPr>
      <t xml:space="preserve">/ </t>
    </r>
    <r>
      <rPr>
        <b/>
        <sz val="11"/>
        <color rgb="FF00B050"/>
        <rFont val="Calibri"/>
        <family val="2"/>
      </rPr>
      <t>Hors UPS</t>
    </r>
  </si>
  <si>
    <t>Rapporteur</t>
  </si>
  <si>
    <t>Examinateur</t>
  </si>
  <si>
    <t>maude.guillier AT ibpc.fr</t>
  </si>
  <si>
    <t>jerome.bonnet AT cbs.cnrs.fr
#04 67 41 77 09</t>
  </si>
  <si>
    <t>Mots-clefs</t>
  </si>
  <si>
    <t>Biologie synthétique, Centre de biochimie structurale (CBS, UMR 5048 CNRS - U 1054 INSERM), Université de Montpellier
Hors UPS</t>
  </si>
  <si>
    <t>Ariel Lindner</t>
  </si>
  <si>
    <t>ariel.lindner @ cri-paris.org
ariel.lindner@learningplanetinstitute.org</t>
  </si>
  <si>
    <t>Réponse</t>
  </si>
  <si>
    <t>Rapporteure</t>
  </si>
  <si>
    <t>Examinatrice</t>
  </si>
  <si>
    <t>danelon AT insa-toulouse.fr
c.j.a.danelon@tudelft.nl</t>
  </si>
  <si>
    <t>Valérie Pézo</t>
  </si>
  <si>
    <t>vpezo[ at ]genoscope.cns.fr</t>
  </si>
  <si>
    <t>Oui</t>
  </si>
  <si>
    <t>Exminateur</t>
  </si>
  <si>
    <r>
      <t xml:space="preserve">Dans  </t>
    </r>
    <r>
      <rPr>
        <b/>
        <sz val="11"/>
        <color rgb="FFFFFFFF"/>
        <rFont val="Calibri"/>
        <family val="2"/>
      </rPr>
      <t xml:space="preserve">/ </t>
    </r>
    <r>
      <rPr>
        <b/>
        <sz val="11"/>
        <color rgb="FF00B050"/>
        <rFont val="Calibri"/>
        <family val="2"/>
      </rPr>
      <t xml:space="preserve">Hors </t>
    </r>
    <r>
      <rPr>
        <b/>
        <sz val="11"/>
        <rFont val="Calibri"/>
        <family val="2"/>
      </rPr>
      <t>Université Paris Saclay</t>
    </r>
  </si>
  <si>
    <r>
      <t xml:space="preserve">CNRS IPBC
</t>
    </r>
    <r>
      <rPr>
        <b/>
        <sz val="11"/>
        <color rgb="FF000000"/>
        <rFont val="Bierstadt Display"/>
        <family val="2"/>
      </rPr>
      <t>Expression génétique microbienne</t>
    </r>
    <r>
      <rPr>
        <sz val="11"/>
        <color rgb="FF000000"/>
        <rFont val="Bierstadt Display"/>
        <family val="2"/>
      </rPr>
      <t xml:space="preserve"> (EGM) UMR8261 – CNRS / Université Paris Cité / Institut de Biologie Physico-Chimique (IBPC)
Hors UPS</t>
    </r>
  </si>
  <si>
    <t>Evolution et ingénierie de systèmes dynamiques (SEED)
ELiS labs
INSERM U1338, ERL
8bis rue Charles V
75004 Paris
Hors UPS</t>
  </si>
  <si>
    <t>Laboratory of Systems &amp; Synthetic Biology (LISSB)
UMR 8030  Laboratoire de Biologie synthétique et systémique
Xenome laboratory
2 rue Gaston Crémieux
91057 Evry Cedex
Tel : (+33) 0 1 60 87 25 00
Dans UPS</t>
  </si>
  <si>
    <t>Chaire Professeur Junior, TBI INSA, Toulouse, France
Toulouse Biotechnology Institute
TBI-INSA
135 avenue de Rangueil
31400 Toulouse - France
Hors UPS</t>
  </si>
  <si>
    <t>Ce tableau permet de designer le jury de ses rêves, en s'assurant qu'il respecte toutes les règles imposées dans la charte du doctorat. 
Chaque ligne correspond à un candidat potentiel pour un des postes possibles (rapporteur/examinateur), et la table de comptage en dessous analyse la conformité du jury.
Colonne B : H pour Homme, F pour Femme (critère de parité)
Colonne C : DR/PR (classe A) / autres status (classe B)
Colonne D : "Avec HDR" ou "Sans HDR"
Colonne E : "Hors UPS" ou "Dans UPS"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</si>
</sst>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Aptos Narrow"/>
      <family val="2"/>
      <scheme val="minor"/>
    </font>
    <font>
      <b/>
      <sz val="11"/>
      <name val="Calibri"/>
      <family val="2"/>
    </font>
    <font>
      <b/>
      <i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theme="1"/>
      <name val="Bierstadt Display"/>
      <family val="2"/>
    </font>
    <font>
      <sz val="11"/>
      <color rgb="FF000000"/>
      <name val="Bierstadt Display"/>
      <family val="2"/>
    </font>
    <font>
      <b/>
      <sz val="11"/>
      <color rgb="FF000000"/>
      <name val="Bierstadt Display"/>
      <family val="2"/>
    </font>
    <font>
      <sz val="11"/>
      <color rgb="FFFF0000"/>
      <name val="Bierstadt Display"/>
      <family val="2"/>
    </font>
    <font>
      <sz val="11"/>
      <name val="Bierstadt Display"/>
      <family val="2"/>
    </font>
    <font>
      <b/>
      <sz val="11"/>
      <color theme="1"/>
      <name val="Bierstadt Display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/>
    </xf>
    <xf numFmtId="0" fontId="9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erstadt Display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erstadt Display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erstadt Display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Bierstadt Display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erstadt Display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Bierstadt Display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erstadt Display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Bierstadt Display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medium">
          <color rgb="FF66666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685795-7C57-4CAA-9EC0-302C628311D5}" name="Table13" displayName="Table13" ref="A2:I7" totalsRowShown="0" headerRowDxfId="24" dataDxfId="22" headerRowBorderDxfId="23" tableBorderDxfId="21">
  <autoFilter ref="A2:I7" xr:uid="{A9549726-1189-4112-BBF7-13B897A12BA1}"/>
  <tableColumns count="9">
    <tableColumn id="1" xr3:uid="{FE04E3D7-0DF3-4286-A124-DADE12610ADB}" name="Prénom NOM" dataDxfId="20"/>
    <tableColumn id="2" xr3:uid="{42DA1467-CD55-4210-9AFB-887716652CF9}" name="H/F" dataDxfId="19"/>
    <tableColumn id="3" xr3:uid="{6AC0B50D-D3DD-4BC5-961F-F93EAFB77A5C}" name="CR / DR" dataDxfId="18"/>
    <tableColumn id="4" xr3:uid="{35062903-2873-4D99-A2AE-8DA1A262CDB8}" name="Sans / avec HDR" dataDxfId="17"/>
    <tableColumn id="5" xr3:uid="{7B379BC6-1DDD-4051-8DC7-A4F096204300}" name="Dans UPS / Hors UPS" dataDxfId="16"/>
    <tableColumn id="6" xr3:uid="{2EEF231C-03B3-4D86-9377-18167C313367}" name="Contact" dataDxfId="15"/>
    <tableColumn id="8" xr3:uid="{DBBB417C-97D7-4968-98FC-C1CC55F383C1}" name="Rôle" dataDxfId="14"/>
    <tableColumn id="11" xr3:uid="{4B9ABA81-E156-4E6F-ADD2-3A065A098CD9}" name="Réponse" dataDxfId="13"/>
    <tableColumn id="13" xr3:uid="{CFF423B9-CCE9-415F-865A-FB09517B26AB}" name="Mots-clef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C46F-E42F-4A1D-9D4E-947582154500}">
  <dimension ref="A1:I12"/>
  <sheetViews>
    <sheetView tabSelected="1" zoomScaleNormal="100" workbookViewId="0">
      <selection sqref="A1:I1"/>
    </sheetView>
  </sheetViews>
  <sheetFormatPr defaultRowHeight="14.4" x14ac:dyDescent="0.3"/>
  <cols>
    <col min="1" max="1" width="14.6640625" customWidth="1"/>
    <col min="2" max="2" width="9.33203125" customWidth="1"/>
    <col min="3" max="3" width="11.77734375" bestFit="1" customWidth="1"/>
    <col min="4" max="4" width="19.109375" bestFit="1" customWidth="1"/>
    <col min="5" max="5" width="35.21875" bestFit="1" customWidth="1"/>
    <col min="6" max="6" width="25" customWidth="1"/>
    <col min="7" max="7" width="14" customWidth="1"/>
    <col min="8" max="8" width="12.21875" customWidth="1"/>
    <col min="9" max="9" width="90.21875" customWidth="1"/>
  </cols>
  <sheetData>
    <row r="1" spans="1:9" ht="103.2" customHeight="1" x14ac:dyDescent="0.3">
      <c r="A1" s="24" t="s">
        <v>38</v>
      </c>
      <c r="B1" s="25"/>
      <c r="C1" s="25"/>
      <c r="D1" s="25"/>
      <c r="E1" s="25"/>
      <c r="F1" s="25"/>
      <c r="G1" s="25"/>
      <c r="H1" s="25"/>
      <c r="I1" s="25"/>
    </row>
    <row r="2" spans="1:9" x14ac:dyDescent="0.3">
      <c r="A2" s="5" t="s">
        <v>0</v>
      </c>
      <c r="B2" s="6" t="s">
        <v>1</v>
      </c>
      <c r="C2" s="6" t="s">
        <v>2</v>
      </c>
      <c r="D2" s="6" t="s">
        <v>3</v>
      </c>
      <c r="E2" s="6" t="s">
        <v>16</v>
      </c>
      <c r="F2" s="4" t="s">
        <v>4</v>
      </c>
      <c r="G2" s="7" t="s">
        <v>5</v>
      </c>
      <c r="H2" s="4" t="s">
        <v>25</v>
      </c>
      <c r="I2" s="4" t="s">
        <v>21</v>
      </c>
    </row>
    <row r="3" spans="1:9" ht="115.2" x14ac:dyDescent="0.3">
      <c r="A3" s="14" t="s">
        <v>9</v>
      </c>
      <c r="B3" s="14" t="s">
        <v>10</v>
      </c>
      <c r="C3" s="14" t="s">
        <v>13</v>
      </c>
      <c r="D3" s="14" t="s">
        <v>6</v>
      </c>
      <c r="E3" s="14" t="s">
        <v>37</v>
      </c>
      <c r="F3" s="14" t="s">
        <v>28</v>
      </c>
      <c r="G3" s="22" t="s">
        <v>17</v>
      </c>
      <c r="H3" s="15" t="s">
        <v>31</v>
      </c>
      <c r="I3" s="10" t="e" vm="1">
        <v>#VALUE!</v>
      </c>
    </row>
    <row r="4" spans="1:9" ht="100.8" x14ac:dyDescent="0.3">
      <c r="A4" s="16" t="s">
        <v>8</v>
      </c>
      <c r="B4" s="14" t="s">
        <v>11</v>
      </c>
      <c r="C4" s="16" t="s">
        <v>7</v>
      </c>
      <c r="D4" s="14" t="s">
        <v>6</v>
      </c>
      <c r="E4" s="16" t="s">
        <v>34</v>
      </c>
      <c r="F4" s="14" t="s">
        <v>19</v>
      </c>
      <c r="G4" s="23" t="s">
        <v>26</v>
      </c>
      <c r="H4" s="15" t="s">
        <v>31</v>
      </c>
      <c r="I4" s="10" t="e" vm="2">
        <v>#VALUE!</v>
      </c>
    </row>
    <row r="5" spans="1:9" ht="87.6" customHeight="1" x14ac:dyDescent="0.3">
      <c r="A5" s="14" t="s">
        <v>12</v>
      </c>
      <c r="B5" s="14" t="s">
        <v>10</v>
      </c>
      <c r="C5" s="14" t="s">
        <v>7</v>
      </c>
      <c r="D5" s="14" t="s">
        <v>6</v>
      </c>
      <c r="E5" s="14" t="s">
        <v>22</v>
      </c>
      <c r="F5" s="14" t="s">
        <v>20</v>
      </c>
      <c r="G5" s="14" t="s">
        <v>18</v>
      </c>
      <c r="H5" s="15" t="s">
        <v>31</v>
      </c>
      <c r="I5" s="10" t="e" vm="3">
        <v>#VALUE!</v>
      </c>
    </row>
    <row r="6" spans="1:9" ht="115.2" x14ac:dyDescent="0.3">
      <c r="A6" s="16" t="s">
        <v>23</v>
      </c>
      <c r="B6" s="14" t="s">
        <v>10</v>
      </c>
      <c r="C6" s="17" t="s">
        <v>7</v>
      </c>
      <c r="D6" s="14" t="s">
        <v>6</v>
      </c>
      <c r="E6" s="18" t="s">
        <v>35</v>
      </c>
      <c r="F6" s="14" t="s">
        <v>24</v>
      </c>
      <c r="G6" s="15" t="s">
        <v>32</v>
      </c>
      <c r="H6" s="15" t="s">
        <v>31</v>
      </c>
      <c r="I6" s="10" t="e" vm="4">
        <v>#VALUE!</v>
      </c>
    </row>
    <row r="7" spans="1:9" ht="129.6" x14ac:dyDescent="0.3">
      <c r="A7" s="19" t="s">
        <v>29</v>
      </c>
      <c r="B7" s="19" t="s">
        <v>11</v>
      </c>
      <c r="C7" s="20" t="s">
        <v>7</v>
      </c>
      <c r="D7" s="19" t="s">
        <v>6</v>
      </c>
      <c r="E7" s="19" t="s">
        <v>36</v>
      </c>
      <c r="F7" s="19" t="s">
        <v>30</v>
      </c>
      <c r="G7" s="21" t="s">
        <v>27</v>
      </c>
      <c r="H7" s="15" t="s">
        <v>31</v>
      </c>
      <c r="I7" s="13" t="e" vm="5">
        <v>#VALUE!</v>
      </c>
    </row>
    <row r="9" spans="1:9" x14ac:dyDescent="0.3">
      <c r="A9" s="11" t="s">
        <v>14</v>
      </c>
      <c r="B9" s="12" t="s">
        <v>1</v>
      </c>
      <c r="C9" s="12" t="s">
        <v>2</v>
      </c>
      <c r="D9" s="12" t="s">
        <v>3</v>
      </c>
      <c r="E9" s="12" t="s">
        <v>33</v>
      </c>
    </row>
    <row r="10" spans="1:9" x14ac:dyDescent="0.3">
      <c r="A10" s="3"/>
      <c r="B10" s="1">
        <f>COUNTIFS(Table13[H/F], "*H*", Table13[Réponse], "*Oui*")</f>
        <v>3</v>
      </c>
      <c r="C10" s="1">
        <f>COUNTIFS(Table13[CR / DR], "*CR*", Table13[Réponse], "*Oui*")</f>
        <v>0</v>
      </c>
      <c r="D10" s="1">
        <f>COUNTIFS(Table13[Sans / avec HDR], "*Sans*", Table13[Réponse], "*Oui*")</f>
        <v>0</v>
      </c>
      <c r="E10" s="1">
        <f>COUNTIFS(Table13[Dans UPS / Hors UPS], "*Dans UPS*", Table13[Réponse], "*Oui*")</f>
        <v>1</v>
      </c>
    </row>
    <row r="11" spans="1:9" x14ac:dyDescent="0.3">
      <c r="A11" s="3"/>
      <c r="B11" s="2">
        <f>COUNTIFS(Table13[H/F], "*F*", Table13[Réponse], "*Oui*")</f>
        <v>2</v>
      </c>
      <c r="C11" s="2">
        <f>COUNTIFS(Table13[CR / DR], "DR", Table13[Réponse], "*Oui*") + COUNTIFS(Table13[CR / DR], "PR", Table13[Réponse], "*Oui*")</f>
        <v>5</v>
      </c>
      <c r="D11" s="2">
        <f>COUNTIFS(Table13[Sans / avec HDR], "*Avec*", Table13[Réponse], "*Oui*")</f>
        <v>5</v>
      </c>
      <c r="E11" s="2">
        <f>COUNTIFS(Table13[Dans UPS / Hors UPS], "*Hors UPS*", Table13[Réponse], "*Oui*")</f>
        <v>4</v>
      </c>
    </row>
    <row r="12" spans="1:9" x14ac:dyDescent="0.3">
      <c r="A12" s="8" t="s">
        <v>15</v>
      </c>
      <c r="B12" s="9">
        <f>IF(COUNTIF(Table13[H/F], "H")=0, "N/A", COUNTIF(Table13[H/F], "F") / COUNTIF(Table13[H/F], "H"))</f>
        <v>0.66666666666666663</v>
      </c>
    </row>
  </sheetData>
  <mergeCells count="1">
    <mergeCell ref="A1:I1"/>
  </mergeCells>
  <conditionalFormatting sqref="B3:B7">
    <cfRule type="containsText" dxfId="11" priority="10" operator="containsText" text="F">
      <formula>NOT(ISERROR(SEARCH("F",B3)))</formula>
    </cfRule>
    <cfRule type="containsText" dxfId="10" priority="11" operator="containsText" text="H">
      <formula>NOT(ISERROR(SEARCH("H",B3)))</formula>
    </cfRule>
  </conditionalFormatting>
  <conditionalFormatting sqref="C3:C7">
    <cfRule type="containsText" dxfId="9" priority="9" operator="containsText" text="PR">
      <formula>NOT(ISERROR(SEARCH("PR",C3)))</formula>
    </cfRule>
    <cfRule type="containsText" dxfId="8" priority="14" operator="containsText" text="DR">
      <formula>NOT(ISERROR(SEARCH("DR",C3)))</formula>
    </cfRule>
    <cfRule type="containsText" dxfId="7" priority="15" operator="containsText" text="CR">
      <formula>NOT(ISERROR(SEARCH("CR",C3)))</formula>
    </cfRule>
  </conditionalFormatting>
  <conditionalFormatting sqref="D3:D7">
    <cfRule type="containsText" dxfId="6" priority="12" operator="containsText" text="Avec">
      <formula>NOT(ISERROR(SEARCH("Avec",D3)))</formula>
    </cfRule>
    <cfRule type="containsText" dxfId="5" priority="13" operator="containsText" text="Sans">
      <formula>NOT(ISERROR(SEARCH("Sans",D3)))</formula>
    </cfRule>
  </conditionalFormatting>
  <conditionalFormatting sqref="E3:E7">
    <cfRule type="containsText" dxfId="4" priority="4" operator="containsText" text="Hors UPS">
      <formula>NOT(ISERROR(SEARCH("Hors UPS",E3)))</formula>
    </cfRule>
    <cfRule type="containsText" dxfId="3" priority="5" operator="containsText" text="Dans UPS">
      <formula>NOT(ISERROR(SEARCH("Dans UPS",E3)))</formula>
    </cfRule>
  </conditionalFormatting>
  <conditionalFormatting sqref="H2:H1048576">
    <cfRule type="containsText" dxfId="2" priority="6" operator="containsText" text="En attente">
      <formula>NOT(ISERROR(SEARCH("En attente",H2)))</formula>
    </cfRule>
    <cfRule type="containsText" dxfId="1" priority="7" operator="containsText" text="Non">
      <formula>NOT(ISERROR(SEARCH("Non",H2)))</formula>
    </cfRule>
    <cfRule type="containsText" dxfId="0" priority="8" operator="containsText" text="Oui">
      <formula>NOT(ISERROR(SEARCH("Oui",H2)))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 WAGNER</dc:creator>
  <cp:lastModifiedBy>Léa WAGNER</cp:lastModifiedBy>
  <dcterms:created xsi:type="dcterms:W3CDTF">2025-03-06T09:04:31Z</dcterms:created>
  <dcterms:modified xsi:type="dcterms:W3CDTF">2026-01-12T21:08:30Z</dcterms:modified>
</cp:coreProperties>
</file>